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nscripts" sheetId="2" state="visible" r:id="rId4"/>
    <sheet name="Scores" sheetId="3" state="visible" r:id="rId5"/>
    <sheet name="Score_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<sst xmlns="http://schemas.openxmlformats.org/spreadsheetml/2006/main" count="433" uniqueCount="148">
  <si>
    <t xml:space="preserve">SA BEVERAGES — THE AUTONOMOUS BOARDROOM  |  Debate Dataset (Phase 4 input)</t>
  </si>
  <si>
    <t xml:space="preserve">This workbook holds the labelled transcripts and evaluation scores for both debates.</t>
  </si>
  <si>
    <t xml:space="preserve">It is the input to the Phase 4 Python/NLP pipeline.</t>
  </si>
  <si>
    <t xml:space="preserve">SHEETS:</t>
  </si>
  <si>
    <t xml:space="preserve">  Transcripts   — one row per speaker turn. Columns: turn_id, debate_level, round,</t>
  </si>
  <si>
    <t xml:space="preserve">                  turn_order (position within round), speaker_role, archetype, turn_note,</t>
  </si>
  <si>
    <t xml:space="preserve">                  text (raw, unedited), word_count (auto-calculated).</t>
  </si>
  <si>
    <t xml:space="preserve">  Scores        — one row per evaluator x criterion (1-10) with the one-line verdict.</t>
  </si>
  <si>
    <t xml:space="preserve">  Score_Summary — average score per evaluator and overall (auto-calculated).</t>
  </si>
  <si>
    <t xml:space="preserve">debate_level values:</t>
  </si>
  <si>
    <t xml:space="preserve">  Top-Management (Phase 2)     — the autonomous 5-persona boardroom debate (added).</t>
  </si>
  <si>
    <t xml:space="preserve">  Middle-Management (Phase 3)  — the human-led Product Head cascade (added; Product Head turns written by the student).</t>
  </si>
  <si>
    <t xml:space="preserve">SOURCE: Both debates generated on Claude Opus 5 (High reasoning), Sep 2026; Phase 3 Product Head turns are human-written.</t>
  </si>
  <si>
    <t xml:space="preserve">NOTE: transcript text is intentionally raw and unedited — do NOT clean it here;</t>
  </si>
  <si>
    <t xml:space="preserve">cleaning happens inside the Python notebook so the original evidence is preserved.</t>
  </si>
  <si>
    <t xml:space="preserve">turn_id</t>
  </si>
  <si>
    <t xml:space="preserve">debate_level</t>
  </si>
  <si>
    <t xml:space="preserve">round</t>
  </si>
  <si>
    <t xml:space="preserve">turn_order</t>
  </si>
  <si>
    <t xml:space="preserve">speaker_role</t>
  </si>
  <si>
    <t xml:space="preserve">archetype</t>
  </si>
  <si>
    <t xml:space="preserve">turn_note</t>
  </si>
  <si>
    <t xml:space="preserve">text</t>
  </si>
  <si>
    <t xml:space="preserve">word_count</t>
  </si>
  <si>
    <t xml:space="preserve">Top-Management (Phase 2)</t>
  </si>
  <si>
    <t xml:space="preserve">CEO</t>
  </si>
  <si>
    <t xml:space="preserve">The Visionary Balancer</t>
  </si>
  <si>
    <t xml:space="preserve">Opening</t>
  </si>
  <si>
    <t xml:space="preserve">Colleagues, read the curve. Twenty-five percent growth became eight percent in a single year. One franchise partner, one season, one category — that is not a company, that is an exposure. Savories is our growth engine, not a side project. We already own the hardest asset in Indian FMCG: millions of outlets that open their shutters for us daily. Snacks is a ₹40,000-crore-plus category compounding double digits. I am not asking whether we diversify. I am asking how fast. Do nothing, and we manage a beautiful, dignified decline.</t>
  </si>
  <si>
    <t xml:space="preserve">CMO</t>
  </si>
  <si>
    <t xml:space="preserve">The Brand Custodian</t>
  </si>
  <si>
    <t xml:space="preserve">With respect, CEO, the shopper doesn't read our balance sheet. She knows us as a cold drink she trusts on a hot afternoon. Ask her to buy a baked namkeen from that same brand and watch the hesitation. We have equity, not permission. Haldiram owns taste heritage; we own refreshment. I want Savories built with a distinct identity, a parent endorsement at most, and proof of pull before we spend a rupee on national media. Give me two test markets, trial and repeat data. No validation, no launch.</t>
  </si>
  <si>
    <t xml:space="preserve">CFO</t>
  </si>
  <si>
    <t xml:space="preserve">The Profit Sentinel</t>
  </si>
  <si>
    <t xml:space="preserve">Numbers, please. Our core earns twenty-three percent operating margin. Packaged snacks earns eight to twelve, after Haldiram, Balaji, Bikaji and Lay's have finished bleeding each other on price. So the proposal is to spend capex on baking lines and a brand build to buy lower-quality revenue. Show me payback under four years, ROCE above cost of capital, and a cash-burn ceiling. I will fund Phase One only: ring-fenced, staged, with written kill-criteria. Open-ended ambition on my balance sheet is not strategy. It is margin dilution with a slogan.</t>
  </si>
  <si>
    <t xml:space="preserve">COO</t>
  </si>
  <si>
    <t xml:space="preserve">The Ground Reality Engine</t>
  </si>
  <si>
    <t xml:space="preserve">Bottling is not baking. Different ovens, different ingredients, different suppliers, different wastage profile. And the distribution synergy everyone celebrates is unproven: my routes are built for heavy, high-velocity crates, not light, bulky, crush-prone ambient packs that eat shelf space and return as damages. Different shelf life, different merchandising, and no chilled cabinet to hide behind. Give me a validated co-manufacturer for eighteen months before we touch capex, a quality-control protocol, and a ramp-up plan that does not touch core OTIF. Break service levels on beverages for a snack pilot, and I will stop it myself.</t>
  </si>
  <si>
    <t xml:space="preserve">CTO</t>
  </si>
  <si>
    <t xml:space="preserve">The System Architect</t>
  </si>
  <si>
    <t xml:space="preserve">Two hard problems, calmly stated. First, formulation: baked, low-oil, multigrain and genuinely tasty is not a marketing claim, it is eighteen to twenty-four months of iteration, and India rejects bland. Second, regime change: FSSAI food-safety compliance, allergen control, nutrition labelling and batch traceability are nothing like beverage QC. We also lack food scientists; that talent market is thin and expensive. I will not ship an unvalidated recipe or compress a compliance runway. Give me R&amp;D hires, a stage-gated product roadmap, and I will build the traceability and D2C stack alongside it.</t>
  </si>
  <si>
    <t xml:space="preserve">Closing Strategy</t>
  </si>
  <si>
    <t xml:space="preserve">Heard. Every condition you named is a design constraint, not a veto. So: Savories launches asset-light through a vetted co-packer, not new plants. Phase One is capped, ring-fenced, and killable. CMO gets two lead markets before national media. CTO gets a stage-gated recipe with compliance built in, not bolted on. COO's core OTIF is untouchable. But understand the clock: every quarter we deliberate, Haldiram and Bikaji take shelf space we will later rent back at a premium. Direction is settled. We are negotiating pace, not permission.</t>
  </si>
  <si>
    <t xml:space="preserve">Let me put numbers against your fears. Target: eight percent of group revenue from new categories within three years. Savories is the wedge, not the whole portfolio. CFO, I am asking for a capped Phase One, not a blank cheque. CMO, distinct sub-brand, endorsed quietly. COO, co-packer first, own line only after volumes justify it. CTO, stage-gates with real money behind R&amp;D. Now cross-examine me properly — but bring me alternatives, not only objections. What is your plan for the eight-percent core?</t>
  </si>
  <si>
    <t xml:space="preserve">Then answer the blind spot. Eight percent of revenue from snacks in three years means roughly ₹1,700 crore — in a category where trial is cheap and repeat is brutal. Better-for-you namkeen is a premium urban niche; mass India buys taste and grammage. Which is it? If premium, my media spend per consumer triples and modern trade plus quick-commerce listing fees will eat the phasing. Also: if Savories fails publicly, distributors question our judgement on the core. Fund insight and a pilot properly, or expect vanity trial and no repeat.</t>
  </si>
  <si>
    <t xml:space="preserve">₹1,700 crore of snack revenue at ten percent contribution replaces ₹170 crore of profit we could earn by pushing ₹740 crore through the core at twenty-three. That is the real trade-off, and nobody has priced it. Co-packing protects capex but caps gross margin at commodity levels. Quick-commerce listing fees, trade schemes and damages are not phasing, they are permanent leakage. My terms: Phase One capped at ₹150 crore over eighteen months, quarterly gates, kill if repeat rate misses target twice. No dilution of core capex. Say yes, or find another CFO.</t>
  </si>
  <si>
    <t xml:space="preserve">Co-packer first — agreed, that is the only sane route. But understand what you just bought. Co-packers in namkeen run other people's brands on the same lines; I get third priority in festive season, allergen cross-contamination risk, and no control over oil quality. Ambient snacks also break my route economics: a crate of bottles earns more per cubic foot than twenty snack packs. So either we pay distributors a separate margin slab, or they hide Savories under the counter. And I want secondary sales visibility before you call this synergy.</t>
  </si>
  <si>
    <t xml:space="preserve">Three gates, then. Gate one: six months, twelve formulations, blind taste tests against Haldiram baked and Too Yumm — we proceed only if we win on taste, not on nutrition claims. Gate two: FSSAI licensing, allergen mapping, shelf-life accelerated testing at co-packer sites; audited, not assumed. Gate three: traceability by batch and a D2C stack for early repeat data, which answers the CMO cheaply. But compressing eighteen months into nine gives you a product that tastes like cardboard and a recall risk. I can be fast or I can be safe.</t>
  </si>
  <si>
    <t xml:space="preserve">Then here is the negotiated shape. Phase One: ₹150 crore, eighteen months, quarterly gates, CFO holds the kill-switch. CTO's taste gate is absolute — we do not launch a product that loses a blind test. CMO gets Maharashtra and NCR as lead markets with a distinct Savories identity, parent endorsed in small type. COO gets a separate snack margin slab for distributors and secondary-sales dashboards funded by CTO's stack. What I will not phase is intent. Eighteen months buys evidence; it does not buy us permission to retreat.</t>
  </si>
  <si>
    <t xml:space="preserve">Final check. The mandate stands: Savories enters as our beachhead into savoury snacks, asset-light, gated, and funded to win — not to dabble. I have conceded pace, capital, and sequencing. I will not concede direction, because the alternative is an eight-percent-growth company renting its future from one franchise partner. Tell me plainly: are you aligned and accountable for your gate, or are you recording dissent? I want owners, not observers. Half-hearted execution will kill this faster than any competitor in Nagpur or Bikaner.</t>
  </si>
  <si>
    <t xml:space="preserve">Aligned — conditionally, and I will own it. Savories gets its own logo, its own voice, and a whisper of the parent, so a failure stays contained. I take Maharashtra and NCR, and I report trial, repeat and weighted distribution every quarter, honestly. My ultimatum is simple: if repeat purchase misses forty percent by month twelve, we do not buy our way to national launch with media. That is not caution, it is respect for a brand three decades in the making. Give me the pilot, and I will give you pull.</t>
  </si>
  <si>
    <t xml:space="preserve">Aligned, with the kill-switch in writing. ₹150 crore, ring-fenced, off the core's capex line, released in four tranches against gates. Board reviews quarterly; two consecutive misses on repeat rate or contribution margin and we stop, write off, and say so publicly without sentiment. No topping up from beverage cash flows mid-cycle. If those conditions hold, I support the direction and will defend it to investors as disciplined optionality. If they are quietly loosened in month nine, my support ends that day. Discipline is the only reason this is fundable.</t>
  </si>
  <si>
    <t xml:space="preserve">Conditionally aligned. Co-packer route, two vetted partners for redundancy, audited quarterly by CTO's team. Separate margin slab for distributors, separate secondary-sales tracking, and snacks ride existing routes only where crate economics allow — elsewhere we appoint snack-specific sub-stockists. Hard line: core beverage OTIF stays above ninety-six percent. If Savories volumes start cannibalising my festive-season truck space or my depot shelf, I escalate to the board immediately, not politely. Execute it this way and it is feasible. Rush it, and you will get stockouts in the core and stale packs in the trade.</t>
  </si>
  <si>
    <t xml:space="preserve">Aligned, and I will sign for the gates. Six months to a blind-test-winning formulation, food scientists hired within ninety days, FSSAI licensing and allergen protocols running parallel from day one, not retrofitted. Batch traceability live before the first commercial pallet moves. D2C storefront in month seven gives us clean repeat data months before general trade reports it. My single non-negotiable: no launch on a recipe that loses its taste test, however loudly the calendar argues. A compliance failure in food does not cost margin. It costs the licence to operate.</t>
  </si>
  <si>
    <t xml:space="preserve">Closing Strategy / Mandate (Phase 3 input)</t>
  </si>
  <si>
    <t xml:space="preserve">Executive order, minuted. One: Savories proceeds as a distinct, parent-endorsed sub-brand, co-manufactured by two audited partners. Two: Phase One capped at ₹150 crore, eighteen months, four tranches, CFO's kill-switch binding. Three: CTO's taste and compliance gates are absolute; no gate, no launch. Four: Maharashtra and NCR lead markets, forty percent repeat by month twelve as the go-national trigger. Five: core OTIF ninety-six percent is inviolable, snack margin slab approved. We reconvene in ninety days. Colleagues — we are not leaving beverages. We are refusing to be only beverages.</t>
  </si>
  <si>
    <t xml:space="preserve">Middle-Management (Phase 3)</t>
  </si>
  <si>
    <t xml:space="preserve">Sales</t>
  </si>
  <si>
    <t xml:space="preserve">Regional Sales &amp; Distribution Manager</t>
  </si>
  <si>
    <t xml:space="preserve">Boss, the mandate is clear, and Maharashtra plus NCR is the right battleground for me. But let's talk shelves. My beverage distributors run crate routes; snacks need hanger displays, frequent small drops and different beat plans. Will the approved margin slab reach distributors before launch, or after? Without it, they'll bury Savories behind fast-moving SKUs. I also need clarity on whether I get dedicated snack sub-stockists or must load existing routes, because loading existing routes risks core OTIF. And forty percent repeat by month twelve means weighted distribution must be locked by month three.</t>
  </si>
  <si>
    <t xml:space="preserve">Brand</t>
  </si>
  <si>
    <t xml:space="preserve">Brand &amp; Marketing Manager — Savories</t>
  </si>
  <si>
    <t xml:space="preserve">I'm energised by the distinct sub-brand call, but the ₹150-crore cap is shared across four tranches, and I don't yet know my slice. Building awareness from zero in two markets while chasing forty percent repeat means sampling-heavy, not TV-heavy. I need to know: what is my Tranche One marketing envelope, and which KPIs unlock Tranche Two? Also, quick-commerce listings cost money upfront; is that my budget or Sales'? And every pack claim, even "crunchier", must clear compliance first, so I need a fixed claim-review turnaround from R&amp;D before creative locks.</t>
  </si>
  <si>
    <t xml:space="preserve">Supply Chain</t>
  </si>
  <si>
    <t xml:space="preserve">Supply Chain &amp; Co-Packer Manager</t>
  </si>
  <si>
    <t xml:space="preserve">Noted: core OTIF at ninety-six percent is inviolable, and I'll protect it. My concern is sequencing. Shortlisting, auditing and onboarding two co-packers, including allergen controls and line trials, realistically takes four to five months. Festive season is when co-packers prioritise bigger clients, so I need capacity commitments written into contracts, not promises. Ambient snacks also crush easily; our beverage trucks and warehouses weren't designed for them, so damages could spike. I'm requesting a ring-fenced snack logistics lane and a clear escalation rule: if snacks and core compete for a truck, core wins, automatically.</t>
  </si>
  <si>
    <t xml:space="preserve">R&amp;D</t>
  </si>
  <si>
    <t xml:space="preserve">R&amp;D / Product &amp; Compliance Lead</t>
  </si>
  <si>
    <t xml:space="preserve">I welcome the absolute gates; they protect everyone. But let me be precise about time. Six months to a blind-test-winning formulation is aggressive when I don't yet have the food scientists. Hiring two or three within ninety days in this market is uncertain, so I need approval for interim consultants now. FSSAI labelling, allergen declarations and co-packer traceability cannot be compressed; any shortcut risks recall. Supply Chain's co-packer audits and my formulation trials must run in parallel, not sequence. And to be clear: if a recipe fails the taste gate, I will not sign it off, regardless of launch dates.</t>
  </si>
  <si>
    <t xml:space="preserve">Product Head</t>
  </si>
  <si>
    <t xml:space="preserve">Product Head (Human)</t>
  </si>
  <si>
    <t xml:space="preserve">Human-written</t>
  </si>
  <si>
    <t xml:space="preserve">Thank you — these are legitimate execution concerns, and I'll address each. Sales: the margin slab will reach distributors before launch, and you will have dedicated snack sub-stockists in both markets, so core beats and OTIF remain protected. Brand: your tranche-one budget is ring-fenced, quick-commerce sits within your allocation, and tranche two unlocks on trial and repeat. Supply chain: festive-season capacity will be written into the co-packer contracts, and if snacks and core compete for a truck, core takes priority automatically. R&amp;D: interim consultants are approved immediately, trials run parallel to audits, and the gates remain absolute. Sequencing is next.</t>
  </si>
  <si>
    <t xml:space="preserve">Appreciated, boss. The pre-launch slab and dedicated sub-stockists solve my biggest worry. Now the hard part: who funds sub-stockist onboarding, their credit period and display hangers, my trade budget or Brand's? And timing: if R&amp;D clears the taste gate at month six and co-packers need five months, my first dispatch lands around month seven. That leaves roughly five months to earn forty percent repeat. Can the repeat clock start from first secondary sale instead of mandate date? Also, Brand's sampling calendar must sync with my beat plan, otherwise trial happens where stock isn't.</t>
  </si>
  <si>
    <t xml:space="preserve">Ring-fenced is good, but I need a number, not a principle. Sampling at scale, quick-commerce listing fees and launch creative could consume most of tranche one before a single repeat purchase shows. So here's my question: trial and repeat unlock tranche two, but if the CFO's kill-switch reviews run on calendar dates and launch slips to month seven, do those reviews slip too? Otherwise I'm judged on a market I've barely entered. And R&amp;D still hasn't committed a claim-review turnaround. I'm proposing five working days, because creative can't lock without it.</t>
  </si>
  <si>
    <t xml:space="preserve">Contract clauses and the core-first rule help, thank you. But you didn't address my ring-fenced snack logistics lane. Without dedicated ambient-snack warehouse space and proper stacking norms, damages will eat Sales' margins. Second, the hand-off: R&amp;D's final recipe determines line specs, packaging film and shelf life, and co-packers can't finalise line trials until that's frozen. I need a recipe-freeze date, even provisional, by month four. Third, the dedicated sub-stockists need their own dispatch schedule. Who owns the forecast feeding my production plan, Sales or Brand? One owner, one number, please.</t>
  </si>
  <si>
    <t xml:space="preserve">Consultants approved, thank you; that buys time. But Supply Chain wants a recipe freeze by month four, and my blind tests need at least two iteration cycles, which realistically lands at month five. Can we agree month four for base formulation and packaging format, with seasoning tweaks allowed until month five? On Brand's request, five working days for claim review is feasible only if claims arrive with substantiation data attached; unsupported claims restart the clock. Also, consultants shouldn't sign our FSSAI dossiers. Who's the accountable signatory until permanent hires join? I need that named before trials begin.</t>
  </si>
  <si>
    <t xml:space="preserve">Understood — decisions. Sales: sub-stockist onboarding and hangers come from trade budget, sampling from Brand; and yes, the repeat clock starts at first secondary sale, not mandate date. Brand: your tranche-one envelope is fixed today at forty percent of the tranche, and kill-switch reviews track months-in-market, not the calendar — you won't be judged on a market you haven't entered. Supply chain: the dedicated ambient lane is approved; Sales owns the single demand forecast. R&amp;D: freeze base formulation and format at month four, seasoning to month five; five-day claim review holds when substantiation is attached; you remain accountable signatory, consultants support only.</t>
  </si>
  <si>
    <t xml:space="preserve">Aligned, with one condition. Trade budget covering onboarding and hangers, Brand funding sampling, and a repeat clock that starts at first secondary sale make this workable. Since I own the single forecast, I'll publish one monthly number, locked by the fifteenth, for Supply Chain. My remaining risk is on paper, not on the ground: the board set forty percent repeat "by month twelve." I need the revised clock minuted with the CFO and board, or I'll be judged against two different dates. Once that's in writing, I'll start appointing sub-stockists in both markets this quarter.</t>
  </si>
  <si>
    <t xml:space="preserve">Aligned. Forty percent of tranche one is a real number, and months-in-market reviews make the kill-switch fair. I'll build a sampling-first plan synced to Sales' beat plan and send every claim to R&amp;D with substantiation attached. One flag, not a blocker: if launch lands at month seven and reviews track months-in-market, the eighteen-month Phase One window may not cover twelve full months in market. Can Finance confirm how the timeline, the cap and the review schedule fit together? Otherwise, I'm ready to brief agencies next week.</t>
  </si>
  <si>
    <t xml:space="preserve">Aligned. The ambient lane, the core-first rule, the contractual capacity clauses and a single forecast owner close my main gaps. A base-formulation freeze at month four gives co-packers enough time for line trials and packaging film. My remaining risk is speed, not policy: auditing two co-packers in four to five months leaves almost no buffer. I'll start shortlisting this week and run audits in parallel with R&amp;D trials. If one partner fails its audit, I need pre-approval to fast-track a backup instead of waiting for the ninety-day reconvene.</t>
  </si>
  <si>
    <t xml:space="preserve">Aligned, with one resourcing risk. A base freeze at month four and seasoning at month five are workable, and I accept accountability as signatory. However, until the hires close, I'll be signing FSSAI dossiers while also leading formulation, blind tests and co-packer traceability, with consultants only supporting. That stretches me thin. I need hiring treated as a priority and a clear escalation path if food-scientist roles stay open beyond ninety days. The gates remain non-negotiable: if a recipe fails the blind test, launch waits. With that understood, I'm ready to begin trials.</t>
  </si>
  <si>
    <t xml:space="preserve">Human-written / Closing</t>
  </si>
  <si>
    <t xml:space="preserve">Then we're aligned, and the mandate stands. Closing commitments: I'll have the revised repeat clock — first secondary sale — minuted with the CFO and board this week, so no one is judged against two dates, and I'll ask Finance to reconcile the eighteen-month cap with twelve months in market in the same note. Supply chain, you have pre-approval to fast-track a vetted backup if a co-packer fails its audit — don't wait for the reconvene. R&amp;D, hiring is now a board-level priority with a named escalation path past ninety days. Gates stay absolute. Start this quarter. Thank you.</t>
  </si>
  <si>
    <t xml:space="preserve">evaluator_role</t>
  </si>
  <si>
    <t xml:space="preserve">criterion_code</t>
  </si>
  <si>
    <t xml:space="preserve">criterion</t>
  </si>
  <si>
    <t xml:space="preserve">score (1-10)</t>
  </si>
  <si>
    <t xml:space="preserve">verdict</t>
  </si>
  <si>
    <t xml:space="preserve">a</t>
  </si>
  <si>
    <t xml:space="preserve">Relevance to department needs</t>
  </si>
  <si>
    <t xml:space="preserve">The pilot-first, distinct-identity structure is exactly the protection the parent brand needed.</t>
  </si>
  <si>
    <t xml:space="preserve">b</t>
  </si>
  <si>
    <t xml:space="preserve">Practical knowledge/feasibility</t>
  </si>
  <si>
    <t xml:space="preserve">He understands distribution, but still underestimates how expensive shopper conversion in snacks really is.</t>
  </si>
  <si>
    <t xml:space="preserve">c</t>
  </si>
  <si>
    <t xml:space="preserve">Novelty of approach</t>
  </si>
  <si>
    <t xml:space="preserve">Leveraging our outlet reach is smart; a baked better-for-you namkeen is crowded, not original.</t>
  </si>
  <si>
    <t xml:space="preserve">d</t>
  </si>
  <si>
    <t xml:space="preserve">Implementation timeline realism</t>
  </si>
  <si>
    <t xml:space="preserve">Eighteen months to evidence is fair; three years to ₹1,700 crore is marketing fantasy.</t>
  </si>
  <si>
    <t xml:space="preserve">e</t>
  </si>
  <si>
    <t xml:space="preserve">Potential overall success</t>
  </si>
  <si>
    <t xml:space="preserve">With a real pilot and honest repeat data, this can work — if we resist the urge to go national early.</t>
  </si>
  <si>
    <t xml:space="preserve">The capped, tranched structure respects capital discipline; the profit-substitution maths remains unpriced.</t>
  </si>
  <si>
    <t xml:space="preserve">Asset-light co-packing is financially literate, but commodity gross margins were accepted too casually.</t>
  </si>
  <si>
    <t xml:space="preserve">Every maturing FMCG major makes this exact bet; novelty is not a line item anyway.</t>
  </si>
  <si>
    <t xml:space="preserve">Payback inside four years is unproven and will slip the moment listing fees land.</t>
  </si>
  <si>
    <t xml:space="preserve">Fundable as staged optionality, dangerous the day the kill-switch becomes negotiable.</t>
  </si>
  <si>
    <t xml:space="preserve">Co-packer-first and the OTIF guarantee address my hardest constraints; route economics still hand-waved.</t>
  </si>
  <si>
    <t xml:space="preserve">The 'distribution synergy' remains an assumption dressed up as an asset until secondary data proves it.</t>
  </si>
  <si>
    <t xml:space="preserve">The separate margin slab and sub-stockist idea is genuinely practical thinking, not boardroom poetry.</t>
  </si>
  <si>
    <t xml:space="preserve">Festive-season co-packer priority alone will cost us a quarter nobody has budgeted for.</t>
  </si>
  <si>
    <t xml:space="preserve">Executable if we stay asset-light and disciplined; a disaster the day someone approves an own line early.</t>
  </si>
  <si>
    <t xml:space="preserve">Making the taste and compliance gates absolute was the single best decision in this room.</t>
  </si>
  <si>
    <t xml:space="preserve">The roadmap is sound, but the food-science talent gap is still treated as a hiring formality.</t>
  </si>
  <si>
    <t xml:space="preserve">Using the D2C stack to generate early repeat data is a genuinely clever, cheap validation loop.</t>
  </si>
  <si>
    <t xml:space="preserve">Six months to a blind-test-winning formulation is aggressive; twelve would be honest.</t>
  </si>
  <si>
    <t xml:space="preserve">If the gates hold, we ship a credible product; if they are compressed, we ship a recall.</t>
  </si>
  <si>
    <t xml:space="preserve">Clarity of the mandate</t>
  </si>
  <si>
    <t xml:space="preserve">Markets, trigger and margin slab were clear from day one, with no guessing on where to fight.</t>
  </si>
  <si>
    <t xml:space="preserve">Resourcing &amp; timeline realism</t>
  </si>
  <si>
    <t xml:space="preserve">Moving the repeat clock to first secondary sale saved me, but it only counts once the board has minuted it.</t>
  </si>
  <si>
    <t xml:space="preserve">Operational feasibility</t>
  </si>
  <si>
    <t xml:space="preserve">Dedicated sub-stockists and a pre-launch slab make the beat plan work without touching crate routes.</t>
  </si>
  <si>
    <t xml:space="preserve">Cross-functional coordination confidence</t>
  </si>
  <si>
    <t xml:space="preserve">Clear budget lines with Brand and one forecast owner stop the usual blame game.</t>
  </si>
  <si>
    <t xml:space="preserve">Change-readiness / team buy-in</t>
  </si>
  <si>
    <t xml:space="preserve">Every one of my concerns got a decision, so I'm appointing sub-stockists this quarter.</t>
  </si>
  <si>
    <t xml:space="preserve">A distinct sub-brand with a parent endorsement gives me a clean positioning brief.</t>
  </si>
  <si>
    <t xml:space="preserve">Forty percent of tranche one is real, but the fit between the eighteen-month window and twelve months in market is still only a request to Finance.</t>
  </si>
  <si>
    <t xml:space="preserve">A sampling-first plan synced to the beat plan is achievable within the envelope.</t>
  </si>
  <si>
    <t xml:space="preserve">The five-day claim review with substantiation attached is a workable contract with R&amp;D.</t>
  </si>
  <si>
    <t xml:space="preserve">Reviews based on months in market make the kill-switch feel fair rather than threatening.</t>
  </si>
  <si>
    <t xml:space="preserve">"Core wins, automatically" is the clearest operating rule I have been handed in years.</t>
  </si>
  <si>
    <t xml:space="preserve">Auditing two co-packers in four to five months, alongside a month-four freeze, leaves almost no buffer.</t>
  </si>
  <si>
    <t xml:space="preserve">The ambient lane and contractual capacity clauses help, but festive-season reality will test them.</t>
  </si>
  <si>
    <t xml:space="preserve">One forecast owner, a monthly lock date and a freeze date give me the hand-offs I needed.</t>
  </si>
  <si>
    <t xml:space="preserve">Pre-approval for a backup co-packer shows real trust, and I'm shortlisting this week.</t>
  </si>
  <si>
    <t xml:space="preserve">Absolute gates, stated plainly and repeated at close, leave no room for launch-date pressure.</t>
  </si>
  <si>
    <t xml:space="preserve">Until the hires close, I'm the signatory, the formulation lead and the traceability owner at once.</t>
  </si>
  <si>
    <t xml:space="preserve">Splitting the freeze into base at month four and seasoning at month five is workable, if blind tests go well within two cycles.</t>
  </si>
  <si>
    <t xml:space="preserve">Running trials in parallel with audits, plus a disciplined claim process, keeps the functions in step.</t>
  </si>
  <si>
    <t xml:space="preserve">Board-level hiring priority is reassuring, though I'll believe the escalation path when it has a named person.</t>
  </si>
  <si>
    <t xml:space="preserve">Debate</t>
  </si>
  <si>
    <t xml:space="preserve">Evaluator</t>
  </si>
  <si>
    <t xml:space="preserve">Average score (1-10)</t>
  </si>
  <si>
    <t xml:space="preserve">OVERALL</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</si>
</sst>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1"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7"/>
    <col collapsed="false" customWidth="true" hidden="false" outlineLevel="0" max="4" min="4" style="0" width="10"/>
    <col collapsed="false" customWidth="true" hidden="false" outlineLevel="0" max="5" min="5" style="0" width="12"/>
    <col collapsed="false" customWidth="true" hidden="false" outlineLevel="0" max="6" min="6" style="0" width="22"/>
    <col collapsed="false" customWidth="true" hidden="false" outlineLevel="0" max="7" min="7" style="0" width="30"/>
    <col collapsed="false" customWidth="true" hidden="false" outlineLevel="0" max="8" min="8" style="0" width="90"/>
    <col collapsed="false" customWidth="true" hidden="false" outlineLevel="0" max="9" min="9" style="0" width="11"/>
  </cols>
  <sheetData>
    <row r="1" customFormat="false" ht="15" hidden="false" customHeight="false" outlineLevel="0" collapsed="false">
      <c r="A1" s="3" t="s">
        <v>15</v>
      </c>
      <c r="B1" s="3" t="s">
        <v>16</v>
      </c>
      <c r="C1" s="3" t="s">
        <v>17</v>
      </c>
      <c r="D1" s="3" t="s">
        <v>18</v>
      </c>
      <c r="E1" s="3" t="s">
        <v>19</v>
      </c>
      <c r="F1" s="3" t="s">
        <v>20</v>
      </c>
      <c r="G1" s="3" t="s">
        <v>21</v>
      </c>
      <c r="H1" s="3" t="s">
        <v>22</v>
      </c>
      <c r="I1" s="3" t="s">
        <v>23</v>
      </c>
    </row>
    <row r="2" customFormat="false" ht="57.45" hidden="false" customHeight="false" outlineLevel="0" collapsed="false">
      <c r="A2" s="4" t="n">
        <v>1</v>
      </c>
      <c r="B2" s="5" t="s">
        <v>24</v>
      </c>
      <c r="C2" s="4" t="n">
        <v>1</v>
      </c>
      <c r="D2" s="4" t="n">
        <v>1</v>
      </c>
      <c r="E2" s="5" t="s">
        <v>25</v>
      </c>
      <c r="F2" s="5" t="s">
        <v>26</v>
      </c>
      <c r="G2" s="5" t="s">
        <v>27</v>
      </c>
      <c r="H2" s="6" t="s">
        <v>28</v>
      </c>
      <c r="I2" s="4" t="n">
        <f aca="false">LEN(TRIM(H2))-LEN(SUBSTITUTE(TRIM(H2)," ",""))+1</f>
        <v>88</v>
      </c>
    </row>
    <row r="3" customFormat="false" ht="57.45" hidden="false" customHeight="false" outlineLevel="0" collapsed="false">
      <c r="A3" s="4" t="n">
        <v>2</v>
      </c>
      <c r="B3" s="5" t="s">
        <v>24</v>
      </c>
      <c r="C3" s="4" t="n">
        <v>1</v>
      </c>
      <c r="D3" s="4" t="n">
        <v>2</v>
      </c>
      <c r="E3" s="5" t="s">
        <v>29</v>
      </c>
      <c r="F3" s="5" t="s">
        <v>30</v>
      </c>
      <c r="G3" s="5"/>
      <c r="H3" s="6" t="s">
        <v>31</v>
      </c>
      <c r="I3" s="4" t="n">
        <f aca="false">LEN(TRIM(H3))-LEN(SUBSTITUTE(TRIM(H3)," ",""))+1</f>
        <v>88</v>
      </c>
    </row>
    <row r="4" customFormat="false" ht="68.65" hidden="false" customHeight="false" outlineLevel="0" collapsed="false">
      <c r="A4" s="4" t="n">
        <v>3</v>
      </c>
      <c r="B4" s="5" t="s">
        <v>24</v>
      </c>
      <c r="C4" s="4" t="n">
        <v>1</v>
      </c>
      <c r="D4" s="4" t="n">
        <v>3</v>
      </c>
      <c r="E4" s="5" t="s">
        <v>32</v>
      </c>
      <c r="F4" s="5" t="s">
        <v>33</v>
      </c>
      <c r="G4" s="5"/>
      <c r="H4" s="6" t="s">
        <v>34</v>
      </c>
      <c r="I4" s="4" t="n">
        <f aca="false">LEN(TRIM(H4))-LEN(SUBSTITUTE(TRIM(H4)," ",""))+1</f>
        <v>88</v>
      </c>
    </row>
    <row r="5" customFormat="false" ht="68.65" hidden="false" customHeight="false" outlineLevel="0" collapsed="false">
      <c r="A5" s="4" t="n">
        <v>4</v>
      </c>
      <c r="B5" s="5" t="s">
        <v>24</v>
      </c>
      <c r="C5" s="4" t="n">
        <v>1</v>
      </c>
      <c r="D5" s="4" t="n">
        <v>4</v>
      </c>
      <c r="E5" s="5" t="s">
        <v>35</v>
      </c>
      <c r="F5" s="5" t="s">
        <v>36</v>
      </c>
      <c r="G5" s="5"/>
      <c r="H5" s="6" t="s">
        <v>37</v>
      </c>
      <c r="I5" s="4" t="n">
        <f aca="false">LEN(TRIM(H5))-LEN(SUBSTITUTE(TRIM(H5)," ",""))+1</f>
        <v>95</v>
      </c>
    </row>
    <row r="6" customFormat="false" ht="68.65" hidden="false" customHeight="false" outlineLevel="0" collapsed="false">
      <c r="A6" s="4" t="n">
        <v>5</v>
      </c>
      <c r="B6" s="5" t="s">
        <v>24</v>
      </c>
      <c r="C6" s="4" t="n">
        <v>1</v>
      </c>
      <c r="D6" s="4" t="n">
        <v>5</v>
      </c>
      <c r="E6" s="5" t="s">
        <v>38</v>
      </c>
      <c r="F6" s="5" t="s">
        <v>39</v>
      </c>
      <c r="G6" s="5"/>
      <c r="H6" s="6" t="s">
        <v>40</v>
      </c>
      <c r="I6" s="4" t="n">
        <f aca="false">LEN(TRIM(H6))-LEN(SUBSTITUTE(TRIM(H6)," ",""))+1</f>
        <v>91</v>
      </c>
    </row>
    <row r="7" customFormat="false" ht="57.45" hidden="false" customHeight="false" outlineLevel="0" collapsed="false">
      <c r="A7" s="4" t="n">
        <v>6</v>
      </c>
      <c r="B7" s="5" t="s">
        <v>24</v>
      </c>
      <c r="C7" s="4" t="n">
        <v>1</v>
      </c>
      <c r="D7" s="4" t="n">
        <v>6</v>
      </c>
      <c r="E7" s="5" t="s">
        <v>25</v>
      </c>
      <c r="F7" s="5" t="s">
        <v>26</v>
      </c>
      <c r="G7" s="5" t="s">
        <v>41</v>
      </c>
      <c r="H7" s="6" t="s">
        <v>42</v>
      </c>
      <c r="I7" s="4" t="n">
        <f aca="false">LEN(TRIM(H7))-LEN(SUBSTITUTE(TRIM(H7)," ",""))+1</f>
        <v>86</v>
      </c>
    </row>
    <row r="8" customFormat="false" ht="57.45" hidden="false" customHeight="false" outlineLevel="0" collapsed="false">
      <c r="A8" s="4" t="n">
        <v>7</v>
      </c>
      <c r="B8" s="5" t="s">
        <v>24</v>
      </c>
      <c r="C8" s="4" t="n">
        <v>2</v>
      </c>
      <c r="D8" s="4" t="n">
        <v>1</v>
      </c>
      <c r="E8" s="5" t="s">
        <v>25</v>
      </c>
      <c r="F8" s="5" t="s">
        <v>26</v>
      </c>
      <c r="G8" s="5"/>
      <c r="H8" s="6" t="s">
        <v>43</v>
      </c>
      <c r="I8" s="4" t="n">
        <f aca="false">LEN(TRIM(H8))-LEN(SUBSTITUTE(TRIM(H8)," ",""))+1</f>
        <v>82</v>
      </c>
    </row>
    <row r="9" customFormat="false" ht="57.45" hidden="false" customHeight="false" outlineLevel="0" collapsed="false">
      <c r="A9" s="4" t="n">
        <v>8</v>
      </c>
      <c r="B9" s="5" t="s">
        <v>24</v>
      </c>
      <c r="C9" s="4" t="n">
        <v>2</v>
      </c>
      <c r="D9" s="4" t="n">
        <v>2</v>
      </c>
      <c r="E9" s="5" t="s">
        <v>29</v>
      </c>
      <c r="F9" s="5" t="s">
        <v>30</v>
      </c>
      <c r="G9" s="5"/>
      <c r="H9" s="6" t="s">
        <v>44</v>
      </c>
      <c r="I9" s="4" t="n">
        <f aca="false">LEN(TRIM(H9))-LEN(SUBSTITUTE(TRIM(H9)," ",""))+1</f>
        <v>90</v>
      </c>
    </row>
    <row r="10" customFormat="false" ht="68.65" hidden="false" customHeight="false" outlineLevel="0" collapsed="false">
      <c r="A10" s="4" t="n">
        <v>9</v>
      </c>
      <c r="B10" s="5" t="s">
        <v>24</v>
      </c>
      <c r="C10" s="4" t="n">
        <v>2</v>
      </c>
      <c r="D10" s="4" t="n">
        <v>3</v>
      </c>
      <c r="E10" s="5" t="s">
        <v>32</v>
      </c>
      <c r="F10" s="5" t="s">
        <v>33</v>
      </c>
      <c r="G10" s="5"/>
      <c r="H10" s="6" t="s">
        <v>45</v>
      </c>
      <c r="I10" s="4" t="n">
        <f aca="false">LEN(TRIM(H10))-LEN(SUBSTITUTE(TRIM(H10)," ",""))+1</f>
        <v>91</v>
      </c>
    </row>
    <row r="11" customFormat="false" ht="57.45" hidden="false" customHeight="false" outlineLevel="0" collapsed="false">
      <c r="A11" s="4" t="n">
        <v>10</v>
      </c>
      <c r="B11" s="5" t="s">
        <v>24</v>
      </c>
      <c r="C11" s="4" t="n">
        <v>2</v>
      </c>
      <c r="D11" s="4" t="n">
        <v>4</v>
      </c>
      <c r="E11" s="5" t="s">
        <v>35</v>
      </c>
      <c r="F11" s="5" t="s">
        <v>36</v>
      </c>
      <c r="G11" s="5"/>
      <c r="H11" s="6" t="s">
        <v>46</v>
      </c>
      <c r="I11" s="4" t="n">
        <f aca="false">LEN(TRIM(H11))-LEN(SUBSTITUTE(TRIM(H11)," ",""))+1</f>
        <v>90</v>
      </c>
    </row>
    <row r="12" customFormat="false" ht="57.45" hidden="false" customHeight="false" outlineLevel="0" collapsed="false">
      <c r="A12" s="4" t="n">
        <v>11</v>
      </c>
      <c r="B12" s="5" t="s">
        <v>24</v>
      </c>
      <c r="C12" s="4" t="n">
        <v>2</v>
      </c>
      <c r="D12" s="4" t="n">
        <v>5</v>
      </c>
      <c r="E12" s="5" t="s">
        <v>38</v>
      </c>
      <c r="F12" s="5" t="s">
        <v>39</v>
      </c>
      <c r="G12" s="5"/>
      <c r="H12" s="6" t="s">
        <v>47</v>
      </c>
      <c r="I12" s="4" t="n">
        <f aca="false">LEN(TRIM(H12))-LEN(SUBSTITUTE(TRIM(H12)," ",""))+1</f>
        <v>91</v>
      </c>
    </row>
    <row r="13" customFormat="false" ht="57.45" hidden="false" customHeight="false" outlineLevel="0" collapsed="false">
      <c r="A13" s="4" t="n">
        <v>12</v>
      </c>
      <c r="B13" s="5" t="s">
        <v>24</v>
      </c>
      <c r="C13" s="4" t="n">
        <v>2</v>
      </c>
      <c r="D13" s="4" t="n">
        <v>6</v>
      </c>
      <c r="E13" s="5" t="s">
        <v>25</v>
      </c>
      <c r="F13" s="5" t="s">
        <v>26</v>
      </c>
      <c r="G13" s="5" t="s">
        <v>41</v>
      </c>
      <c r="H13" s="6" t="s">
        <v>48</v>
      </c>
      <c r="I13" s="4" t="n">
        <f aca="false">LEN(TRIM(H13))-LEN(SUBSTITUTE(TRIM(H13)," ",""))+1</f>
        <v>88</v>
      </c>
    </row>
    <row r="14" customFormat="false" ht="57.45" hidden="false" customHeight="false" outlineLevel="0" collapsed="false">
      <c r="A14" s="4" t="n">
        <v>13</v>
      </c>
      <c r="B14" s="5" t="s">
        <v>24</v>
      </c>
      <c r="C14" s="4" t="n">
        <v>3</v>
      </c>
      <c r="D14" s="4" t="n">
        <v>1</v>
      </c>
      <c r="E14" s="5" t="s">
        <v>25</v>
      </c>
      <c r="F14" s="5" t="s">
        <v>26</v>
      </c>
      <c r="G14" s="5"/>
      <c r="H14" s="6" t="s">
        <v>49</v>
      </c>
      <c r="I14" s="4" t="n">
        <f aca="false">LEN(TRIM(H14))-LEN(SUBSTITUTE(TRIM(H14)," ",""))+1</f>
        <v>83</v>
      </c>
    </row>
    <row r="15" customFormat="false" ht="57.45" hidden="false" customHeight="false" outlineLevel="0" collapsed="false">
      <c r="A15" s="4" t="n">
        <v>14</v>
      </c>
      <c r="B15" s="5" t="s">
        <v>24</v>
      </c>
      <c r="C15" s="4" t="n">
        <v>3</v>
      </c>
      <c r="D15" s="4" t="n">
        <v>2</v>
      </c>
      <c r="E15" s="5" t="s">
        <v>29</v>
      </c>
      <c r="F15" s="5" t="s">
        <v>30</v>
      </c>
      <c r="G15" s="5"/>
      <c r="H15" s="6" t="s">
        <v>50</v>
      </c>
      <c r="I15" s="4" t="n">
        <f aca="false">LEN(TRIM(H15))-LEN(SUBSTITUTE(TRIM(H15)," ",""))+1</f>
        <v>92</v>
      </c>
    </row>
    <row r="16" customFormat="false" ht="57.45" hidden="false" customHeight="false" outlineLevel="0" collapsed="false">
      <c r="A16" s="4" t="n">
        <v>15</v>
      </c>
      <c r="B16" s="5" t="s">
        <v>24</v>
      </c>
      <c r="C16" s="4" t="n">
        <v>3</v>
      </c>
      <c r="D16" s="4" t="n">
        <v>3</v>
      </c>
      <c r="E16" s="5" t="s">
        <v>32</v>
      </c>
      <c r="F16" s="5" t="s">
        <v>33</v>
      </c>
      <c r="G16" s="5"/>
      <c r="H16" s="6" t="s">
        <v>51</v>
      </c>
      <c r="I16" s="4" t="n">
        <f aca="false">LEN(TRIM(H16))-LEN(SUBSTITUTE(TRIM(H16)," ",""))+1</f>
        <v>89</v>
      </c>
    </row>
    <row r="17" customFormat="false" ht="68.65" hidden="false" customHeight="false" outlineLevel="0" collapsed="false">
      <c r="A17" s="4" t="n">
        <v>16</v>
      </c>
      <c r="B17" s="5" t="s">
        <v>24</v>
      </c>
      <c r="C17" s="4" t="n">
        <v>3</v>
      </c>
      <c r="D17" s="4" t="n">
        <v>4</v>
      </c>
      <c r="E17" s="5" t="s">
        <v>35</v>
      </c>
      <c r="F17" s="5" t="s">
        <v>36</v>
      </c>
      <c r="G17" s="5"/>
      <c r="H17" s="6" t="s">
        <v>52</v>
      </c>
      <c r="I17" s="4" t="n">
        <f aca="false">LEN(TRIM(H17))-LEN(SUBSTITUTE(TRIM(H17)," ",""))+1</f>
        <v>92</v>
      </c>
    </row>
    <row r="18" customFormat="false" ht="68.65" hidden="false" customHeight="false" outlineLevel="0" collapsed="false">
      <c r="A18" s="4" t="n">
        <v>17</v>
      </c>
      <c r="B18" s="5" t="s">
        <v>24</v>
      </c>
      <c r="C18" s="4" t="n">
        <v>3</v>
      </c>
      <c r="D18" s="4" t="n">
        <v>5</v>
      </c>
      <c r="E18" s="5" t="s">
        <v>38</v>
      </c>
      <c r="F18" s="5" t="s">
        <v>39</v>
      </c>
      <c r="G18" s="5"/>
      <c r="H18" s="6" t="s">
        <v>53</v>
      </c>
      <c r="I18" s="4" t="n">
        <f aca="false">LEN(TRIM(H18))-LEN(SUBSTITUTE(TRIM(H18)," ",""))+1</f>
        <v>90</v>
      </c>
    </row>
    <row r="19" customFormat="false" ht="68.65" hidden="false" customHeight="false" outlineLevel="0" collapsed="false">
      <c r="A19" s="4" t="n">
        <v>18</v>
      </c>
      <c r="B19" s="5" t="s">
        <v>24</v>
      </c>
      <c r="C19" s="4" t="n">
        <v>3</v>
      </c>
      <c r="D19" s="4" t="n">
        <v>6</v>
      </c>
      <c r="E19" s="5" t="s">
        <v>25</v>
      </c>
      <c r="F19" s="5" t="s">
        <v>26</v>
      </c>
      <c r="G19" s="5" t="s">
        <v>54</v>
      </c>
      <c r="H19" s="6" t="s">
        <v>55</v>
      </c>
      <c r="I19" s="4" t="n">
        <f aca="false">LEN(TRIM(H19))-LEN(SUBSTITUTE(TRIM(H19)," ",""))+1</f>
        <v>88</v>
      </c>
    </row>
    <row r="20" customFormat="false" ht="68.65" hidden="false" customHeight="false" outlineLevel="0" collapsed="false">
      <c r="A20" s="4" t="n">
        <v>19</v>
      </c>
      <c r="B20" s="5" t="s">
        <v>56</v>
      </c>
      <c r="C20" s="4" t="n">
        <v>1</v>
      </c>
      <c r="D20" s="4" t="n">
        <v>1</v>
      </c>
      <c r="E20" s="5" t="s">
        <v>57</v>
      </c>
      <c r="F20" s="5" t="s">
        <v>58</v>
      </c>
      <c r="G20" s="5"/>
      <c r="H20" s="6" t="s">
        <v>59</v>
      </c>
      <c r="I20" s="4" t="n">
        <f aca="false">LEN(TRIM(H20))-LEN(SUBSTITUTE(TRIM(H20)," ",""))+1</f>
        <v>94</v>
      </c>
    </row>
    <row r="21" customFormat="false" ht="68.65" hidden="false" customHeight="false" outlineLevel="0" collapsed="false">
      <c r="A21" s="4" t="n">
        <v>20</v>
      </c>
      <c r="B21" s="5" t="s">
        <v>56</v>
      </c>
      <c r="C21" s="4" t="n">
        <v>1</v>
      </c>
      <c r="D21" s="4" t="n">
        <v>2</v>
      </c>
      <c r="E21" s="5" t="s">
        <v>60</v>
      </c>
      <c r="F21" s="5" t="s">
        <v>61</v>
      </c>
      <c r="G21" s="5"/>
      <c r="H21" s="6" t="s">
        <v>62</v>
      </c>
      <c r="I21" s="4" t="n">
        <f aca="false">LEN(TRIM(H21))-LEN(SUBSTITUTE(TRIM(H21)," ",""))+1</f>
        <v>90</v>
      </c>
    </row>
    <row r="22" customFormat="false" ht="68.65" hidden="false" customHeight="false" outlineLevel="0" collapsed="false">
      <c r="A22" s="4" t="n">
        <v>21</v>
      </c>
      <c r="B22" s="5" t="s">
        <v>56</v>
      </c>
      <c r="C22" s="4" t="n">
        <v>1</v>
      </c>
      <c r="D22" s="4" t="n">
        <v>3</v>
      </c>
      <c r="E22" s="5" t="s">
        <v>63</v>
      </c>
      <c r="F22" s="5" t="s">
        <v>64</v>
      </c>
      <c r="G22" s="5"/>
      <c r="H22" s="6" t="s">
        <v>65</v>
      </c>
      <c r="I22" s="4" t="n">
        <f aca="false">LEN(TRIM(H22))-LEN(SUBSTITUTE(TRIM(H22)," ",""))+1</f>
        <v>93</v>
      </c>
    </row>
    <row r="23" customFormat="false" ht="68.65" hidden="false" customHeight="false" outlineLevel="0" collapsed="false">
      <c r="A23" s="4" t="n">
        <v>22</v>
      </c>
      <c r="B23" s="5" t="s">
        <v>56</v>
      </c>
      <c r="C23" s="4" t="n">
        <v>1</v>
      </c>
      <c r="D23" s="4" t="n">
        <v>4</v>
      </c>
      <c r="E23" s="5" t="s">
        <v>66</v>
      </c>
      <c r="F23" s="5" t="s">
        <v>67</v>
      </c>
      <c r="G23" s="5"/>
      <c r="H23" s="6" t="s">
        <v>68</v>
      </c>
      <c r="I23" s="4" t="n">
        <f aca="false">LEN(TRIM(H23))-LEN(SUBSTITUTE(TRIM(H23)," ",""))+1</f>
        <v>100</v>
      </c>
    </row>
    <row r="24" customFormat="false" ht="79.85" hidden="false" customHeight="false" outlineLevel="0" collapsed="false">
      <c r="A24" s="4" t="n">
        <v>23</v>
      </c>
      <c r="B24" s="5" t="s">
        <v>56</v>
      </c>
      <c r="C24" s="4" t="n">
        <v>1</v>
      </c>
      <c r="D24" s="4" t="n">
        <v>5</v>
      </c>
      <c r="E24" s="5" t="s">
        <v>69</v>
      </c>
      <c r="F24" s="5" t="s">
        <v>70</v>
      </c>
      <c r="G24" s="5" t="s">
        <v>71</v>
      </c>
      <c r="H24" s="6" t="s">
        <v>72</v>
      </c>
      <c r="I24" s="4" t="n">
        <f aca="false">LEN(TRIM(H24))-LEN(SUBSTITUTE(TRIM(H24)," ",""))+1</f>
        <v>100</v>
      </c>
    </row>
    <row r="25" customFormat="false" ht="68.65" hidden="false" customHeight="false" outlineLevel="0" collapsed="false">
      <c r="A25" s="4" t="n">
        <v>24</v>
      </c>
      <c r="B25" s="5" t="s">
        <v>56</v>
      </c>
      <c r="C25" s="4" t="n">
        <v>2</v>
      </c>
      <c r="D25" s="4" t="n">
        <v>1</v>
      </c>
      <c r="E25" s="5" t="s">
        <v>57</v>
      </c>
      <c r="F25" s="5" t="s">
        <v>58</v>
      </c>
      <c r="G25" s="5"/>
      <c r="H25" s="6" t="s">
        <v>73</v>
      </c>
      <c r="I25" s="4" t="n">
        <f aca="false">LEN(TRIM(H25))-LEN(SUBSTITUTE(TRIM(H25)," ",""))+1</f>
        <v>93</v>
      </c>
    </row>
    <row r="26" customFormat="false" ht="68.65" hidden="false" customHeight="false" outlineLevel="0" collapsed="false">
      <c r="A26" s="4" t="n">
        <v>25</v>
      </c>
      <c r="B26" s="5" t="s">
        <v>56</v>
      </c>
      <c r="C26" s="4" t="n">
        <v>2</v>
      </c>
      <c r="D26" s="4" t="n">
        <v>2</v>
      </c>
      <c r="E26" s="5" t="s">
        <v>60</v>
      </c>
      <c r="F26" s="5" t="s">
        <v>61</v>
      </c>
      <c r="G26" s="5"/>
      <c r="H26" s="6" t="s">
        <v>74</v>
      </c>
      <c r="I26" s="4" t="n">
        <f aca="false">LEN(TRIM(H26))-LEN(SUBSTITUTE(TRIM(H26)," ",""))+1</f>
        <v>91</v>
      </c>
    </row>
    <row r="27" customFormat="false" ht="68.65" hidden="false" customHeight="false" outlineLevel="0" collapsed="false">
      <c r="A27" s="4" t="n">
        <v>26</v>
      </c>
      <c r="B27" s="5" t="s">
        <v>56</v>
      </c>
      <c r="C27" s="4" t="n">
        <v>2</v>
      </c>
      <c r="D27" s="4" t="n">
        <v>3</v>
      </c>
      <c r="E27" s="5" t="s">
        <v>63</v>
      </c>
      <c r="F27" s="5" t="s">
        <v>64</v>
      </c>
      <c r="G27" s="5"/>
      <c r="H27" s="6" t="s">
        <v>75</v>
      </c>
      <c r="I27" s="4" t="n">
        <f aca="false">LEN(TRIM(H27))-LEN(SUBSTITUTE(TRIM(H27)," ",""))+1</f>
        <v>90</v>
      </c>
    </row>
    <row r="28" customFormat="false" ht="68.65" hidden="false" customHeight="false" outlineLevel="0" collapsed="false">
      <c r="A28" s="4" t="n">
        <v>27</v>
      </c>
      <c r="B28" s="5" t="s">
        <v>56</v>
      </c>
      <c r="C28" s="4" t="n">
        <v>2</v>
      </c>
      <c r="D28" s="4" t="n">
        <v>4</v>
      </c>
      <c r="E28" s="5" t="s">
        <v>66</v>
      </c>
      <c r="F28" s="5" t="s">
        <v>67</v>
      </c>
      <c r="G28" s="5"/>
      <c r="H28" s="6" t="s">
        <v>76</v>
      </c>
      <c r="I28" s="4" t="n">
        <f aca="false">LEN(TRIM(H28))-LEN(SUBSTITUTE(TRIM(H28)," ",""))+1</f>
        <v>97</v>
      </c>
    </row>
    <row r="29" customFormat="false" ht="79.85" hidden="false" customHeight="false" outlineLevel="0" collapsed="false">
      <c r="A29" s="4" t="n">
        <v>28</v>
      </c>
      <c r="B29" s="5" t="s">
        <v>56</v>
      </c>
      <c r="C29" s="4" t="n">
        <v>2</v>
      </c>
      <c r="D29" s="4" t="n">
        <v>5</v>
      </c>
      <c r="E29" s="5" t="s">
        <v>69</v>
      </c>
      <c r="F29" s="5" t="s">
        <v>70</v>
      </c>
      <c r="G29" s="5" t="s">
        <v>71</v>
      </c>
      <c r="H29" s="6" t="s">
        <v>77</v>
      </c>
      <c r="I29" s="4" t="n">
        <f aca="false">LEN(TRIM(H29))-LEN(SUBSTITUTE(TRIM(H29)," ",""))+1</f>
        <v>102</v>
      </c>
    </row>
    <row r="30" customFormat="false" ht="68.65" hidden="false" customHeight="false" outlineLevel="0" collapsed="false">
      <c r="A30" s="4" t="n">
        <v>29</v>
      </c>
      <c r="B30" s="5" t="s">
        <v>56</v>
      </c>
      <c r="C30" s="4" t="n">
        <v>3</v>
      </c>
      <c r="D30" s="4" t="n">
        <v>1</v>
      </c>
      <c r="E30" s="5" t="s">
        <v>57</v>
      </c>
      <c r="F30" s="5" t="s">
        <v>58</v>
      </c>
      <c r="G30" s="5"/>
      <c r="H30" s="6" t="s">
        <v>78</v>
      </c>
      <c r="I30" s="4" t="n">
        <f aca="false">LEN(TRIM(H30))-LEN(SUBSTITUTE(TRIM(H30)," ",""))+1</f>
        <v>95</v>
      </c>
    </row>
    <row r="31" customFormat="false" ht="57.45" hidden="false" customHeight="false" outlineLevel="0" collapsed="false">
      <c r="A31" s="4" t="n">
        <v>30</v>
      </c>
      <c r="B31" s="5" t="s">
        <v>56</v>
      </c>
      <c r="C31" s="4" t="n">
        <v>3</v>
      </c>
      <c r="D31" s="4" t="n">
        <v>2</v>
      </c>
      <c r="E31" s="5" t="s">
        <v>60</v>
      </c>
      <c r="F31" s="5" t="s">
        <v>61</v>
      </c>
      <c r="G31" s="5"/>
      <c r="H31" s="6" t="s">
        <v>79</v>
      </c>
      <c r="I31" s="4" t="n">
        <f aca="false">LEN(TRIM(H31))-LEN(SUBSTITUTE(TRIM(H31)," ",""))+1</f>
        <v>86</v>
      </c>
    </row>
    <row r="32" customFormat="false" ht="57.45" hidden="false" customHeight="false" outlineLevel="0" collapsed="false">
      <c r="A32" s="4" t="n">
        <v>31</v>
      </c>
      <c r="B32" s="5" t="s">
        <v>56</v>
      </c>
      <c r="C32" s="4" t="n">
        <v>3</v>
      </c>
      <c r="D32" s="4" t="n">
        <v>3</v>
      </c>
      <c r="E32" s="5" t="s">
        <v>63</v>
      </c>
      <c r="F32" s="5" t="s">
        <v>64</v>
      </c>
      <c r="G32" s="5"/>
      <c r="H32" s="6" t="s">
        <v>80</v>
      </c>
      <c r="I32" s="4" t="n">
        <f aca="false">LEN(TRIM(H32))-LEN(SUBSTITUTE(TRIM(H32)," ",""))+1</f>
        <v>88</v>
      </c>
    </row>
    <row r="33" customFormat="false" ht="68.65" hidden="false" customHeight="false" outlineLevel="0" collapsed="false">
      <c r="A33" s="4" t="n">
        <v>32</v>
      </c>
      <c r="B33" s="5" t="s">
        <v>56</v>
      </c>
      <c r="C33" s="4" t="n">
        <v>3</v>
      </c>
      <c r="D33" s="4" t="n">
        <v>4</v>
      </c>
      <c r="E33" s="5" t="s">
        <v>66</v>
      </c>
      <c r="F33" s="5" t="s">
        <v>67</v>
      </c>
      <c r="G33" s="5"/>
      <c r="H33" s="6" t="s">
        <v>81</v>
      </c>
      <c r="I33" s="4" t="n">
        <f aca="false">LEN(TRIM(H33))-LEN(SUBSTITUTE(TRIM(H33)," ",""))+1</f>
        <v>92</v>
      </c>
    </row>
    <row r="34" customFormat="false" ht="68.65" hidden="false" customHeight="false" outlineLevel="0" collapsed="false">
      <c r="A34" s="4" t="n">
        <v>33</v>
      </c>
      <c r="B34" s="5" t="s">
        <v>56</v>
      </c>
      <c r="C34" s="4" t="n">
        <v>3</v>
      </c>
      <c r="D34" s="4" t="n">
        <v>5</v>
      </c>
      <c r="E34" s="5" t="s">
        <v>69</v>
      </c>
      <c r="F34" s="5" t="s">
        <v>70</v>
      </c>
      <c r="G34" s="5" t="s">
        <v>82</v>
      </c>
      <c r="H34" s="6" t="s">
        <v>83</v>
      </c>
      <c r="I34" s="4" t="n">
        <f aca="false">LEN(TRIM(H34))-LEN(SUBSTITUTE(TRIM(H34)," ",""))+1</f>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22"/>
    <col collapsed="false" customWidth="true" hidden="false" outlineLevel="0" max="4" min="4" style="0" width="13"/>
    <col collapsed="false" customWidth="true" hidden="false" outlineLevel="0" max="5" min="5" style="0" width="30"/>
    <col collapsed="false" customWidth="true" hidden="false" outlineLevel="0" max="6" min="6" style="0" width="12"/>
    <col collapsed="false" customWidth="true" hidden="false" outlineLevel="0" max="7" min="7" style="0" width="75"/>
  </cols>
  <sheetData>
    <row r="1" customFormat="false" ht="15" hidden="false" customHeight="false" outlineLevel="0" collapsed="false">
      <c r="A1" s="3" t="s">
        <v>16</v>
      </c>
      <c r="B1" s="3" t="s">
        <v>84</v>
      </c>
      <c r="C1" s="3" t="s">
        <v>20</v>
      </c>
      <c r="D1" s="3" t="s">
        <v>85</v>
      </c>
      <c r="E1" s="3" t="s">
        <v>86</v>
      </c>
      <c r="F1" s="3" t="s">
        <v>87</v>
      </c>
      <c r="G1" s="3" t="s">
        <v>88</v>
      </c>
    </row>
    <row r="2" customFormat="false" ht="15" hidden="false" customHeight="false" outlineLevel="0" collapsed="false">
      <c r="A2" s="5" t="s">
        <v>24</v>
      </c>
      <c r="B2" s="5" t="s">
        <v>29</v>
      </c>
      <c r="C2" s="5" t="s">
        <v>30</v>
      </c>
      <c r="D2" s="4" t="s">
        <v>89</v>
      </c>
      <c r="E2" s="5" t="s">
        <v>90</v>
      </c>
      <c r="F2" s="4" t="n">
        <v>8</v>
      </c>
      <c r="G2" s="6" t="s">
        <v>91</v>
      </c>
    </row>
    <row r="3" customFormat="false" ht="23.85" hidden="false" customHeight="false" outlineLevel="0" collapsed="false">
      <c r="A3" s="5" t="s">
        <v>24</v>
      </c>
      <c r="B3" s="5" t="s">
        <v>29</v>
      </c>
      <c r="C3" s="5" t="s">
        <v>30</v>
      </c>
      <c r="D3" s="4" t="s">
        <v>92</v>
      </c>
      <c r="E3" s="5" t="s">
        <v>93</v>
      </c>
      <c r="F3" s="4" t="n">
        <v>7</v>
      </c>
      <c r="G3" s="6" t="s">
        <v>94</v>
      </c>
    </row>
    <row r="4" customFormat="false" ht="23.85" hidden="false" customHeight="false" outlineLevel="0" collapsed="false">
      <c r="A4" s="5" t="s">
        <v>24</v>
      </c>
      <c r="B4" s="5" t="s">
        <v>29</v>
      </c>
      <c r="C4" s="5" t="s">
        <v>30</v>
      </c>
      <c r="D4" s="4" t="s">
        <v>95</v>
      </c>
      <c r="E4" s="5" t="s">
        <v>96</v>
      </c>
      <c r="F4" s="4" t="n">
        <v>6</v>
      </c>
      <c r="G4" s="6" t="s">
        <v>97</v>
      </c>
    </row>
    <row r="5" customFormat="false" ht="15" hidden="false" customHeight="false" outlineLevel="0" collapsed="false">
      <c r="A5" s="5" t="s">
        <v>24</v>
      </c>
      <c r="B5" s="5" t="s">
        <v>29</v>
      </c>
      <c r="C5" s="5" t="s">
        <v>30</v>
      </c>
      <c r="D5" s="4" t="s">
        <v>98</v>
      </c>
      <c r="E5" s="5" t="s">
        <v>99</v>
      </c>
      <c r="F5" s="4" t="n">
        <v>6</v>
      </c>
      <c r="G5" s="6" t="s">
        <v>100</v>
      </c>
    </row>
    <row r="6" customFormat="false" ht="23.85" hidden="false" customHeight="false" outlineLevel="0" collapsed="false">
      <c r="A6" s="5" t="s">
        <v>24</v>
      </c>
      <c r="B6" s="5" t="s">
        <v>29</v>
      </c>
      <c r="C6" s="5" t="s">
        <v>30</v>
      </c>
      <c r="D6" s="4" t="s">
        <v>101</v>
      </c>
      <c r="E6" s="5" t="s">
        <v>102</v>
      </c>
      <c r="F6" s="4" t="n">
        <v>7</v>
      </c>
      <c r="G6" s="6" t="s">
        <v>103</v>
      </c>
    </row>
    <row r="7" customFormat="false" ht="23.85" hidden="false" customHeight="false" outlineLevel="0" collapsed="false">
      <c r="A7" s="5" t="s">
        <v>24</v>
      </c>
      <c r="B7" s="5" t="s">
        <v>32</v>
      </c>
      <c r="C7" s="5" t="s">
        <v>33</v>
      </c>
      <c r="D7" s="4" t="s">
        <v>89</v>
      </c>
      <c r="E7" s="5" t="s">
        <v>90</v>
      </c>
      <c r="F7" s="4" t="n">
        <v>6</v>
      </c>
      <c r="G7" s="6" t="s">
        <v>104</v>
      </c>
    </row>
    <row r="8" customFormat="false" ht="23.85" hidden="false" customHeight="false" outlineLevel="0" collapsed="false">
      <c r="A8" s="5" t="s">
        <v>24</v>
      </c>
      <c r="B8" s="5" t="s">
        <v>32</v>
      </c>
      <c r="C8" s="5" t="s">
        <v>33</v>
      </c>
      <c r="D8" s="4" t="s">
        <v>92</v>
      </c>
      <c r="E8" s="5" t="s">
        <v>93</v>
      </c>
      <c r="F8" s="4" t="n">
        <v>6</v>
      </c>
      <c r="G8" s="6" t="s">
        <v>105</v>
      </c>
    </row>
    <row r="9" customFormat="false" ht="15" hidden="false" customHeight="false" outlineLevel="0" collapsed="false">
      <c r="A9" s="5" t="s">
        <v>24</v>
      </c>
      <c r="B9" s="5" t="s">
        <v>32</v>
      </c>
      <c r="C9" s="5" t="s">
        <v>33</v>
      </c>
      <c r="D9" s="4" t="s">
        <v>95</v>
      </c>
      <c r="E9" s="5" t="s">
        <v>96</v>
      </c>
      <c r="F9" s="4" t="n">
        <v>5</v>
      </c>
      <c r="G9" s="6" t="s">
        <v>106</v>
      </c>
    </row>
    <row r="10" customFormat="false" ht="15" hidden="false" customHeight="false" outlineLevel="0" collapsed="false">
      <c r="A10" s="5" t="s">
        <v>24</v>
      </c>
      <c r="B10" s="5" t="s">
        <v>32</v>
      </c>
      <c r="C10" s="5" t="s">
        <v>33</v>
      </c>
      <c r="D10" s="4" t="s">
        <v>98</v>
      </c>
      <c r="E10" s="5" t="s">
        <v>99</v>
      </c>
      <c r="F10" s="4" t="n">
        <v>5</v>
      </c>
      <c r="G10" s="6" t="s">
        <v>107</v>
      </c>
    </row>
    <row r="11" customFormat="false" ht="15" hidden="false" customHeight="false" outlineLevel="0" collapsed="false">
      <c r="A11" s="5" t="s">
        <v>24</v>
      </c>
      <c r="B11" s="5" t="s">
        <v>32</v>
      </c>
      <c r="C11" s="5" t="s">
        <v>33</v>
      </c>
      <c r="D11" s="4" t="s">
        <v>101</v>
      </c>
      <c r="E11" s="5" t="s">
        <v>102</v>
      </c>
      <c r="F11" s="4" t="n">
        <v>6</v>
      </c>
      <c r="G11" s="6" t="s">
        <v>108</v>
      </c>
    </row>
    <row r="12" customFormat="false" ht="23.85" hidden="false" customHeight="false" outlineLevel="0" collapsed="false">
      <c r="A12" s="5" t="s">
        <v>24</v>
      </c>
      <c r="B12" s="5" t="s">
        <v>35</v>
      </c>
      <c r="C12" s="5" t="s">
        <v>36</v>
      </c>
      <c r="D12" s="4" t="s">
        <v>89</v>
      </c>
      <c r="E12" s="5" t="s">
        <v>90</v>
      </c>
      <c r="F12" s="4" t="n">
        <v>6</v>
      </c>
      <c r="G12" s="6" t="s">
        <v>109</v>
      </c>
    </row>
    <row r="13" customFormat="false" ht="23.85" hidden="false" customHeight="false" outlineLevel="0" collapsed="false">
      <c r="A13" s="5" t="s">
        <v>24</v>
      </c>
      <c r="B13" s="5" t="s">
        <v>35</v>
      </c>
      <c r="C13" s="5" t="s">
        <v>36</v>
      </c>
      <c r="D13" s="4" t="s">
        <v>92</v>
      </c>
      <c r="E13" s="5" t="s">
        <v>93</v>
      </c>
      <c r="F13" s="4" t="n">
        <v>5</v>
      </c>
      <c r="G13" s="6" t="s">
        <v>110</v>
      </c>
    </row>
    <row r="14" customFormat="false" ht="23.85" hidden="false" customHeight="false" outlineLevel="0" collapsed="false">
      <c r="A14" s="5" t="s">
        <v>24</v>
      </c>
      <c r="B14" s="5" t="s">
        <v>35</v>
      </c>
      <c r="C14" s="5" t="s">
        <v>36</v>
      </c>
      <c r="D14" s="4" t="s">
        <v>95</v>
      </c>
      <c r="E14" s="5" t="s">
        <v>96</v>
      </c>
      <c r="F14" s="4" t="n">
        <v>6</v>
      </c>
      <c r="G14" s="6" t="s">
        <v>111</v>
      </c>
    </row>
    <row r="15" customFormat="false" ht="15" hidden="false" customHeight="false" outlineLevel="0" collapsed="false">
      <c r="A15" s="5" t="s">
        <v>24</v>
      </c>
      <c r="B15" s="5" t="s">
        <v>35</v>
      </c>
      <c r="C15" s="5" t="s">
        <v>36</v>
      </c>
      <c r="D15" s="4" t="s">
        <v>98</v>
      </c>
      <c r="E15" s="5" t="s">
        <v>99</v>
      </c>
      <c r="F15" s="4" t="n">
        <v>5</v>
      </c>
      <c r="G15" s="6" t="s">
        <v>112</v>
      </c>
    </row>
    <row r="16" customFormat="false" ht="23.85" hidden="false" customHeight="false" outlineLevel="0" collapsed="false">
      <c r="A16" s="5" t="s">
        <v>24</v>
      </c>
      <c r="B16" s="5" t="s">
        <v>35</v>
      </c>
      <c r="C16" s="5" t="s">
        <v>36</v>
      </c>
      <c r="D16" s="4" t="s">
        <v>101</v>
      </c>
      <c r="E16" s="5" t="s">
        <v>102</v>
      </c>
      <c r="F16" s="4" t="n">
        <v>6</v>
      </c>
      <c r="G16" s="6" t="s">
        <v>113</v>
      </c>
    </row>
    <row r="17" customFormat="false" ht="15" hidden="false" customHeight="false" outlineLevel="0" collapsed="false">
      <c r="A17" s="5" t="s">
        <v>24</v>
      </c>
      <c r="B17" s="5" t="s">
        <v>38</v>
      </c>
      <c r="C17" s="5" t="s">
        <v>39</v>
      </c>
      <c r="D17" s="4" t="s">
        <v>89</v>
      </c>
      <c r="E17" s="5" t="s">
        <v>90</v>
      </c>
      <c r="F17" s="4" t="n">
        <v>7</v>
      </c>
      <c r="G17" s="6" t="s">
        <v>114</v>
      </c>
    </row>
    <row r="18" customFormat="false" ht="15" hidden="false" customHeight="false" outlineLevel="0" collapsed="false">
      <c r="A18" s="5" t="s">
        <v>24</v>
      </c>
      <c r="B18" s="5" t="s">
        <v>38</v>
      </c>
      <c r="C18" s="5" t="s">
        <v>39</v>
      </c>
      <c r="D18" s="4" t="s">
        <v>92</v>
      </c>
      <c r="E18" s="5" t="s">
        <v>93</v>
      </c>
      <c r="F18" s="4" t="n">
        <v>6</v>
      </c>
      <c r="G18" s="6" t="s">
        <v>115</v>
      </c>
    </row>
    <row r="19" customFormat="false" ht="23.85" hidden="false" customHeight="false" outlineLevel="0" collapsed="false">
      <c r="A19" s="5" t="s">
        <v>24</v>
      </c>
      <c r="B19" s="5" t="s">
        <v>38</v>
      </c>
      <c r="C19" s="5" t="s">
        <v>39</v>
      </c>
      <c r="D19" s="4" t="s">
        <v>95</v>
      </c>
      <c r="E19" s="5" t="s">
        <v>96</v>
      </c>
      <c r="F19" s="4" t="n">
        <v>7</v>
      </c>
      <c r="G19" s="6" t="s">
        <v>116</v>
      </c>
    </row>
    <row r="20" customFormat="false" ht="15" hidden="false" customHeight="false" outlineLevel="0" collapsed="false">
      <c r="A20" s="5" t="s">
        <v>24</v>
      </c>
      <c r="B20" s="5" t="s">
        <v>38</v>
      </c>
      <c r="C20" s="5" t="s">
        <v>39</v>
      </c>
      <c r="D20" s="4" t="s">
        <v>98</v>
      </c>
      <c r="E20" s="5" t="s">
        <v>99</v>
      </c>
      <c r="F20" s="4" t="n">
        <v>5</v>
      </c>
      <c r="G20" s="6" t="s">
        <v>117</v>
      </c>
    </row>
    <row r="21" customFormat="false" ht="15" hidden="false" customHeight="false" outlineLevel="0" collapsed="false">
      <c r="A21" s="5" t="s">
        <v>24</v>
      </c>
      <c r="B21" s="5" t="s">
        <v>38</v>
      </c>
      <c r="C21" s="5" t="s">
        <v>39</v>
      </c>
      <c r="D21" s="4" t="s">
        <v>101</v>
      </c>
      <c r="E21" s="5" t="s">
        <v>102</v>
      </c>
      <c r="F21" s="4" t="n">
        <v>7</v>
      </c>
      <c r="G21" s="6" t="s">
        <v>118</v>
      </c>
    </row>
    <row r="22" customFormat="false" ht="23.85" hidden="false" customHeight="false" outlineLevel="0" collapsed="false">
      <c r="A22" s="5" t="s">
        <v>56</v>
      </c>
      <c r="B22" s="5" t="s">
        <v>57</v>
      </c>
      <c r="C22" s="5" t="s">
        <v>58</v>
      </c>
      <c r="D22" s="4" t="s">
        <v>89</v>
      </c>
      <c r="E22" s="5" t="s">
        <v>119</v>
      </c>
      <c r="F22" s="4" t="n">
        <v>9</v>
      </c>
      <c r="G22" s="6" t="s">
        <v>120</v>
      </c>
    </row>
    <row r="23" customFormat="false" ht="23.85" hidden="false" customHeight="false" outlineLevel="0" collapsed="false">
      <c r="A23" s="5" t="s">
        <v>56</v>
      </c>
      <c r="B23" s="5" t="s">
        <v>57</v>
      </c>
      <c r="C23" s="5" t="s">
        <v>58</v>
      </c>
      <c r="D23" s="4" t="s">
        <v>92</v>
      </c>
      <c r="E23" s="5" t="s">
        <v>121</v>
      </c>
      <c r="F23" s="4" t="n">
        <v>7</v>
      </c>
      <c r="G23" s="6" t="s">
        <v>122</v>
      </c>
    </row>
    <row r="24" customFormat="false" ht="23.85" hidden="false" customHeight="false" outlineLevel="0" collapsed="false">
      <c r="A24" s="5" t="s">
        <v>56</v>
      </c>
      <c r="B24" s="5" t="s">
        <v>57</v>
      </c>
      <c r="C24" s="5" t="s">
        <v>58</v>
      </c>
      <c r="D24" s="4" t="s">
        <v>95</v>
      </c>
      <c r="E24" s="5" t="s">
        <v>123</v>
      </c>
      <c r="F24" s="4" t="n">
        <v>8</v>
      </c>
      <c r="G24" s="6" t="s">
        <v>124</v>
      </c>
    </row>
    <row r="25" customFormat="false" ht="15" hidden="false" customHeight="false" outlineLevel="0" collapsed="false">
      <c r="A25" s="5" t="s">
        <v>56</v>
      </c>
      <c r="B25" s="5" t="s">
        <v>57</v>
      </c>
      <c r="C25" s="5" t="s">
        <v>58</v>
      </c>
      <c r="D25" s="4" t="s">
        <v>98</v>
      </c>
      <c r="E25" s="5" t="s">
        <v>125</v>
      </c>
      <c r="F25" s="4" t="n">
        <v>8</v>
      </c>
      <c r="G25" s="6" t="s">
        <v>126</v>
      </c>
    </row>
    <row r="26" customFormat="false" ht="15" hidden="false" customHeight="false" outlineLevel="0" collapsed="false">
      <c r="A26" s="5" t="s">
        <v>56</v>
      </c>
      <c r="B26" s="5" t="s">
        <v>57</v>
      </c>
      <c r="C26" s="5" t="s">
        <v>58</v>
      </c>
      <c r="D26" s="4" t="s">
        <v>101</v>
      </c>
      <c r="E26" s="5" t="s">
        <v>127</v>
      </c>
      <c r="F26" s="4" t="n">
        <v>9</v>
      </c>
      <c r="G26" s="6" t="s">
        <v>128</v>
      </c>
    </row>
    <row r="27" customFormat="false" ht="15" hidden="false" customHeight="false" outlineLevel="0" collapsed="false">
      <c r="A27" s="5" t="s">
        <v>56</v>
      </c>
      <c r="B27" s="5" t="s">
        <v>60</v>
      </c>
      <c r="C27" s="5" t="s">
        <v>61</v>
      </c>
      <c r="D27" s="4" t="s">
        <v>89</v>
      </c>
      <c r="E27" s="5" t="s">
        <v>119</v>
      </c>
      <c r="F27" s="4" t="n">
        <v>9</v>
      </c>
      <c r="G27" s="6" t="s">
        <v>129</v>
      </c>
    </row>
    <row r="28" customFormat="false" ht="23.85" hidden="false" customHeight="false" outlineLevel="0" collapsed="false">
      <c r="A28" s="5" t="s">
        <v>56</v>
      </c>
      <c r="B28" s="5" t="s">
        <v>60</v>
      </c>
      <c r="C28" s="5" t="s">
        <v>61</v>
      </c>
      <c r="D28" s="4" t="s">
        <v>92</v>
      </c>
      <c r="E28" s="5" t="s">
        <v>121</v>
      </c>
      <c r="F28" s="4" t="n">
        <v>6</v>
      </c>
      <c r="G28" s="6" t="s">
        <v>130</v>
      </c>
    </row>
    <row r="29" customFormat="false" ht="15" hidden="false" customHeight="false" outlineLevel="0" collapsed="false">
      <c r="A29" s="5" t="s">
        <v>56</v>
      </c>
      <c r="B29" s="5" t="s">
        <v>60</v>
      </c>
      <c r="C29" s="5" t="s">
        <v>61</v>
      </c>
      <c r="D29" s="4" t="s">
        <v>95</v>
      </c>
      <c r="E29" s="5" t="s">
        <v>123</v>
      </c>
      <c r="F29" s="4" t="n">
        <v>8</v>
      </c>
      <c r="G29" s="6" t="s">
        <v>131</v>
      </c>
    </row>
    <row r="30" customFormat="false" ht="15" hidden="false" customHeight="false" outlineLevel="0" collapsed="false">
      <c r="A30" s="5" t="s">
        <v>56</v>
      </c>
      <c r="B30" s="5" t="s">
        <v>60</v>
      </c>
      <c r="C30" s="5" t="s">
        <v>61</v>
      </c>
      <c r="D30" s="4" t="s">
        <v>98</v>
      </c>
      <c r="E30" s="5" t="s">
        <v>125</v>
      </c>
      <c r="F30" s="4" t="n">
        <v>8</v>
      </c>
      <c r="G30" s="6" t="s">
        <v>132</v>
      </c>
    </row>
    <row r="31" customFormat="false" ht="15" hidden="false" customHeight="false" outlineLevel="0" collapsed="false">
      <c r="A31" s="5" t="s">
        <v>56</v>
      </c>
      <c r="B31" s="5" t="s">
        <v>60</v>
      </c>
      <c r="C31" s="5" t="s">
        <v>61</v>
      </c>
      <c r="D31" s="4" t="s">
        <v>101</v>
      </c>
      <c r="E31" s="5" t="s">
        <v>127</v>
      </c>
      <c r="F31" s="4" t="n">
        <v>9</v>
      </c>
      <c r="G31" s="6" t="s">
        <v>133</v>
      </c>
    </row>
    <row r="32" customFormat="false" ht="15" hidden="false" customHeight="false" outlineLevel="0" collapsed="false">
      <c r="A32" s="5" t="s">
        <v>56</v>
      </c>
      <c r="B32" s="5" t="s">
        <v>63</v>
      </c>
      <c r="C32" s="5" t="s">
        <v>64</v>
      </c>
      <c r="D32" s="4" t="s">
        <v>89</v>
      </c>
      <c r="E32" s="5" t="s">
        <v>119</v>
      </c>
      <c r="F32" s="4" t="n">
        <v>9</v>
      </c>
      <c r="G32" s="6" t="s">
        <v>134</v>
      </c>
    </row>
    <row r="33" customFormat="false" ht="23.85" hidden="false" customHeight="false" outlineLevel="0" collapsed="false">
      <c r="A33" s="5" t="s">
        <v>56</v>
      </c>
      <c r="B33" s="5" t="s">
        <v>63</v>
      </c>
      <c r="C33" s="5" t="s">
        <v>64</v>
      </c>
      <c r="D33" s="4" t="s">
        <v>92</v>
      </c>
      <c r="E33" s="5" t="s">
        <v>121</v>
      </c>
      <c r="F33" s="4" t="n">
        <v>6</v>
      </c>
      <c r="G33" s="6" t="s">
        <v>135</v>
      </c>
    </row>
    <row r="34" customFormat="false" ht="23.85" hidden="false" customHeight="false" outlineLevel="0" collapsed="false">
      <c r="A34" s="5" t="s">
        <v>56</v>
      </c>
      <c r="B34" s="5" t="s">
        <v>63</v>
      </c>
      <c r="C34" s="5" t="s">
        <v>64</v>
      </c>
      <c r="D34" s="4" t="s">
        <v>95</v>
      </c>
      <c r="E34" s="5" t="s">
        <v>123</v>
      </c>
      <c r="F34" s="4" t="n">
        <v>7</v>
      </c>
      <c r="G34" s="6" t="s">
        <v>136</v>
      </c>
    </row>
    <row r="35" customFormat="false" ht="15" hidden="false" customHeight="false" outlineLevel="0" collapsed="false">
      <c r="A35" s="5" t="s">
        <v>56</v>
      </c>
      <c r="B35" s="5" t="s">
        <v>63</v>
      </c>
      <c r="C35" s="5" t="s">
        <v>64</v>
      </c>
      <c r="D35" s="4" t="s">
        <v>98</v>
      </c>
      <c r="E35" s="5" t="s">
        <v>125</v>
      </c>
      <c r="F35" s="4" t="n">
        <v>8</v>
      </c>
      <c r="G35" s="6" t="s">
        <v>137</v>
      </c>
    </row>
    <row r="36" customFormat="false" ht="15" hidden="false" customHeight="false" outlineLevel="0" collapsed="false">
      <c r="A36" s="5" t="s">
        <v>56</v>
      </c>
      <c r="B36" s="5" t="s">
        <v>63</v>
      </c>
      <c r="C36" s="5" t="s">
        <v>64</v>
      </c>
      <c r="D36" s="4" t="s">
        <v>101</v>
      </c>
      <c r="E36" s="5" t="s">
        <v>127</v>
      </c>
      <c r="F36" s="4" t="n">
        <v>8</v>
      </c>
      <c r="G36" s="6" t="s">
        <v>138</v>
      </c>
    </row>
    <row r="37" customFormat="false" ht="15" hidden="false" customHeight="false" outlineLevel="0" collapsed="false">
      <c r="A37" s="5" t="s">
        <v>56</v>
      </c>
      <c r="B37" s="5" t="s">
        <v>66</v>
      </c>
      <c r="C37" s="5" t="s">
        <v>67</v>
      </c>
      <c r="D37" s="4" t="s">
        <v>89</v>
      </c>
      <c r="E37" s="5" t="s">
        <v>119</v>
      </c>
      <c r="F37" s="4" t="n">
        <v>9</v>
      </c>
      <c r="G37" s="6" t="s">
        <v>139</v>
      </c>
    </row>
    <row r="38" customFormat="false" ht="23.85" hidden="false" customHeight="false" outlineLevel="0" collapsed="false">
      <c r="A38" s="5" t="s">
        <v>56</v>
      </c>
      <c r="B38" s="5" t="s">
        <v>66</v>
      </c>
      <c r="C38" s="5" t="s">
        <v>67</v>
      </c>
      <c r="D38" s="4" t="s">
        <v>92</v>
      </c>
      <c r="E38" s="5" t="s">
        <v>121</v>
      </c>
      <c r="F38" s="4" t="n">
        <v>5</v>
      </c>
      <c r="G38" s="6" t="s">
        <v>140</v>
      </c>
    </row>
    <row r="39" customFormat="false" ht="23.85" hidden="false" customHeight="false" outlineLevel="0" collapsed="false">
      <c r="A39" s="5" t="s">
        <v>56</v>
      </c>
      <c r="B39" s="5" t="s">
        <v>66</v>
      </c>
      <c r="C39" s="5" t="s">
        <v>67</v>
      </c>
      <c r="D39" s="4" t="s">
        <v>95</v>
      </c>
      <c r="E39" s="5" t="s">
        <v>123</v>
      </c>
      <c r="F39" s="4" t="n">
        <v>7</v>
      </c>
      <c r="G39" s="6" t="s">
        <v>141</v>
      </c>
    </row>
    <row r="40" customFormat="false" ht="23.85" hidden="false" customHeight="false" outlineLevel="0" collapsed="false">
      <c r="A40" s="5" t="s">
        <v>56</v>
      </c>
      <c r="B40" s="5" t="s">
        <v>66</v>
      </c>
      <c r="C40" s="5" t="s">
        <v>67</v>
      </c>
      <c r="D40" s="4" t="s">
        <v>98</v>
      </c>
      <c r="E40" s="5" t="s">
        <v>125</v>
      </c>
      <c r="F40" s="4" t="n">
        <v>8</v>
      </c>
      <c r="G40" s="6" t="s">
        <v>142</v>
      </c>
    </row>
    <row r="41" customFormat="false" ht="23.85" hidden="false" customHeight="false" outlineLevel="0" collapsed="false">
      <c r="A41" s="5" t="s">
        <v>56</v>
      </c>
      <c r="B41" s="5" t="s">
        <v>66</v>
      </c>
      <c r="C41" s="5" t="s">
        <v>67</v>
      </c>
      <c r="D41" s="4" t="s">
        <v>101</v>
      </c>
      <c r="E41" s="5" t="s">
        <v>127</v>
      </c>
      <c r="F41" s="4" t="n">
        <v>8</v>
      </c>
      <c r="G41" s="6"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20"/>
  </cols>
  <sheetData>
    <row r="1" customFormat="false" ht="15" hidden="false" customHeight="false" outlineLevel="0" collapsed="false">
      <c r="A1" s="3" t="s">
        <v>144</v>
      </c>
      <c r="B1" s="3" t="s">
        <v>145</v>
      </c>
      <c r="C1" s="3" t="s">
        <v>146</v>
      </c>
    </row>
    <row r="2" customFormat="false" ht="15" hidden="false" customHeight="false" outlineLevel="0" collapsed="false">
      <c r="A2" s="7" t="s">
        <v>24</v>
      </c>
      <c r="B2" s="7" t="s">
        <v>29</v>
      </c>
      <c r="C2" s="8" t="n">
        <f aca="false">AVERAGEIFS(Scores!$F$2:$F$41,Scores!$A$2:$A$41,A2,Scores!$B$2:$B$41,B2)</f>
        <v>6.8</v>
      </c>
    </row>
    <row r="3" customFormat="false" ht="15" hidden="false" customHeight="false" outlineLevel="0" collapsed="false">
      <c r="A3" s="7" t="s">
        <v>24</v>
      </c>
      <c r="B3" s="7" t="s">
        <v>32</v>
      </c>
      <c r="C3" s="8" t="n">
        <f aca="false">AVERAGEIFS(Scores!$F$2:$F$41,Scores!$A$2:$A$41,A3,Scores!$B$2:$B$41,B3)</f>
        <v>5.6</v>
      </c>
    </row>
    <row r="4" customFormat="false" ht="15" hidden="false" customHeight="false" outlineLevel="0" collapsed="false">
      <c r="A4" s="7" t="s">
        <v>24</v>
      </c>
      <c r="B4" s="7" t="s">
        <v>35</v>
      </c>
      <c r="C4" s="8" t="n">
        <f aca="false">AVERAGEIFS(Scores!$F$2:$F$41,Scores!$A$2:$A$41,A4,Scores!$B$2:$B$41,B4)</f>
        <v>5.6</v>
      </c>
    </row>
    <row r="5" customFormat="false" ht="15" hidden="false" customHeight="false" outlineLevel="0" collapsed="false">
      <c r="A5" s="7" t="s">
        <v>24</v>
      </c>
      <c r="B5" s="7" t="s">
        <v>38</v>
      </c>
      <c r="C5" s="8" t="n">
        <f aca="false">AVERAGEIFS(Scores!$F$2:$F$41,Scores!$A$2:$A$41,A5,Scores!$B$2:$B$41,B5)</f>
        <v>6.4</v>
      </c>
    </row>
    <row r="6" customFormat="false" ht="15" hidden="false" customHeight="false" outlineLevel="0" collapsed="false">
      <c r="A6" s="9" t="s">
        <v>24</v>
      </c>
      <c r="B6" s="9" t="s">
        <v>147</v>
      </c>
      <c r="C6" s="10" t="n">
        <f aca="false">AVERAGEIFS(Scores!$F$2:$F$41,Scores!$A$2:$A$41,A6)</f>
        <v>6.1</v>
      </c>
    </row>
    <row r="7" customFormat="false" ht="15" hidden="false" customHeight="false" outlineLevel="0" collapsed="false">
      <c r="A7" s="7" t="s">
        <v>56</v>
      </c>
      <c r="B7" s="7" t="s">
        <v>57</v>
      </c>
      <c r="C7" s="8" t="n">
        <f aca="false">AVERAGEIFS(Scores!$F$2:$F$41,Scores!$A$2:$A$41,A7,Scores!$B$2:$B$41,B7)</f>
        <v>8.2</v>
      </c>
    </row>
    <row r="8" customFormat="false" ht="15" hidden="false" customHeight="false" outlineLevel="0" collapsed="false">
      <c r="A8" s="7" t="s">
        <v>56</v>
      </c>
      <c r="B8" s="7" t="s">
        <v>60</v>
      </c>
      <c r="C8" s="8" t="n">
        <f aca="false">AVERAGEIFS(Scores!$F$2:$F$41,Scores!$A$2:$A$41,A8,Scores!$B$2:$B$41,B8)</f>
        <v>8</v>
      </c>
    </row>
    <row r="9" customFormat="false" ht="15" hidden="false" customHeight="false" outlineLevel="0" collapsed="false">
      <c r="A9" s="7" t="s">
        <v>56</v>
      </c>
      <c r="B9" s="7" t="s">
        <v>63</v>
      </c>
      <c r="C9" s="8" t="n">
        <f aca="false">AVERAGEIFS(Scores!$F$2:$F$41,Scores!$A$2:$A$41,A9,Scores!$B$2:$B$41,B9)</f>
        <v>7.6</v>
      </c>
    </row>
    <row r="10" customFormat="false" ht="15" hidden="false" customHeight="false" outlineLevel="0" collapsed="false">
      <c r="A10" s="7" t="s">
        <v>56</v>
      </c>
      <c r="B10" s="7" t="s">
        <v>66</v>
      </c>
      <c r="C10" s="8" t="n">
        <f aca="false">AVERAGEIFS(Scores!$F$2:$F$41,Scores!$A$2:$A$41,A10,Scores!$B$2:$B$41,B10)</f>
        <v>7.4</v>
      </c>
    </row>
    <row r="11" customFormat="false" ht="15" hidden="false" customHeight="false" outlineLevel="0" collapsed="false">
      <c r="A11" s="9" t="s">
        <v>56</v>
      </c>
      <c r="B11" s="9" t="s">
        <v>147</v>
      </c>
      <c r="C11" s="10" t="n">
        <f aca="false">AVERAGEIFS(Scores!$F$2:$F$41,Scores!$A$2:$A$41,A11)</f>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2026-09-16T10:44:37Z</dcterms:created>
  <dc:creator>openpyxl</dc:creator>
  <dc:description/>
  <dc:language>en-US</dc:language>
  <cp:lastModifiedBy/>
  <dcterms:modified xsi:type="dcterms:W3CDTF">2026-09-16T10:44:37Z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